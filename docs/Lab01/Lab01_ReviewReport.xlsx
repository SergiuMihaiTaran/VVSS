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\Desktop\"/>
    </mc:Choice>
  </mc:AlternateContent>
  <xr:revisionPtr revIDLastSave="0" documentId="13_ncr:1_{88939158-34B2-46C7-BD35-DC0D2C2E65C7}" xr6:coauthVersionLast="47" xr6:coauthVersionMax="47" xr10:uidLastSave="{00000000-0000-0000-0000-000000000000}"/>
  <bookViews>
    <workbookView xWindow="-108" yWindow="-108" windowWidth="23256" windowHeight="13176" tabRatio="650" firstSheet="1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7" l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2" i="7" l="1"/>
  <c r="B13" i="7" s="1"/>
  <c r="B14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15" i="7" l="1"/>
  <c r="B16" i="7" s="1"/>
  <c r="B17" i="7" s="1"/>
  <c r="B18" i="7" s="1"/>
  <c r="B19" i="7" s="1"/>
  <c r="B20" i="7" s="1"/>
  <c r="B21" i="7" s="1"/>
  <c r="B22" i="7" s="1"/>
  <c r="B23" i="7" s="1"/>
  <c r="B24" i="7" s="1"/>
  <c r="B25" i="7" s="1"/>
</calcChain>
</file>

<file path=xl/sharedStrings.xml><?xml version="1.0" encoding="utf-8"?>
<sst xmlns="http://schemas.openxmlformats.org/spreadsheetml/2006/main" count="173" uniqueCount="109">
  <si>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</si>
  <si>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</si>
  <si>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</si>
  <si>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</si>
  <si>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</si>
  <si>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</si>
  <si>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</si>
  <si>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</si>
  <si>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</si>
  <si>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</si>
  <si>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</si>
  <si>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</si>
  <si>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</si>
  <si>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</si>
  <si>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</si>
  <si>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</si>
  <si>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</si>
  <si>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</si>
  <si>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</si>
  <si>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</si>
  <si>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</si>
  <si>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</si>
  <si>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</si>
  <si>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</si>
  <si>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</si>
  <si>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</si>
  <si>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</si>
  <si>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</si>
  <si>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</si>
  <si>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</si>
  <si>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</si>
  <si>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</si>
  <si>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RequirementsMyDrinkShop_1.0</t>
  </si>
  <si>
    <t>R02</t>
  </si>
  <si>
    <t>nu se cere posibilitatea de a adauga retete noi si de a filtra produsele dupa categore/tip</t>
  </si>
  <si>
    <t>C01</t>
  </si>
  <si>
    <t>nu se trateaza cazul null la ComboBoxes</t>
  </si>
  <si>
    <t>DrinkShopController.java/224-237</t>
  </si>
  <si>
    <t>nu se verifica/actualizeaza stocul inainte sa se salveze comanda</t>
  </si>
  <si>
    <t>DrinkShopService.java/84</t>
  </si>
  <si>
    <t>DrinkShopService.java/224-236</t>
  </si>
  <si>
    <t>Se calculeaza totalul comenzii din 2 parti: Order.computeTotalPrice() din OrderItem.getTotal() si OrderService.computeTotal() din repo. Daca se modifica pretul unui produs dupa ce a fost adaugat in comanda, pe bon vom avea preturi diferite</t>
  </si>
  <si>
    <t>C02</t>
  </si>
  <si>
    <t>DrinkShopService.java/74</t>
  </si>
  <si>
    <t>getDailyRevenue apeleaza getTotalRevenue, nu exista logica de a calulca /zi, doar total</t>
  </si>
  <si>
    <t>C07</t>
  </si>
  <si>
    <t>C08</t>
  </si>
  <si>
    <t>DrinkShopController.java/158-164</t>
  </si>
  <si>
    <t>ProductService.java/45</t>
  </si>
  <si>
    <t>nu se trateaza cazul null, doar ALL</t>
  </si>
  <si>
    <t>nu se trateaza cazul in care findById returneaza null (reteta nu a fost selectata)</t>
  </si>
  <si>
    <t>DrinkShopController.java/113,169,181,197</t>
  </si>
  <si>
    <t>C05</t>
  </si>
  <si>
    <t>DrinkShopController.java</t>
  </si>
  <si>
    <t>comandaProdus din DrinkShopService in care se verifica daca avem stoc necesar si se schimba cantitatea nu este apelata</t>
  </si>
  <si>
    <t>nu se valideaza complet adaugarea unui/unei produs,ingredient,retete,order (nume gol, cantitate negativa)</t>
  </si>
  <si>
    <t>service/validator</t>
  </si>
  <si>
    <t>metodele din clasele de validare a obiectelor de adaugat/modificat nu sunt apelate</t>
  </si>
  <si>
    <t>C06</t>
  </si>
  <si>
    <t>nu sunt validate datele de input la aduagare/update (de exemplu se pot adauga produse cu nume gol)</t>
  </si>
  <si>
    <t>returneaza total revenue, nu daily</t>
  </si>
  <si>
    <t>DrinkShopController.java/140-154</t>
  </si>
  <si>
    <t>daca nu se selecteaza produs pentru update/delete, nu apare niciun mesaj</t>
  </si>
  <si>
    <t>DrinkShopController.java/130-145</t>
  </si>
  <si>
    <t>se face Double.parseDouble(…) fara try/catch. Ex: daca se pune text la pretul produsului, vom primi eroare in consola dar niciun warning</t>
  </si>
  <si>
    <t>C12</t>
  </si>
  <si>
    <t>StocService.java/72-73</t>
  </si>
  <si>
    <t>deScazut e double, rezultatul e fortat int</t>
  </si>
  <si>
    <t>R01</t>
  </si>
  <si>
    <t>nu este specificat cum se face legatura dintre produs si reteta (in aplicatie produsul si reteta au legatura one to one)</t>
  </si>
  <si>
    <t>nu se spune explicit ca utilizatorul trebuie sa poata adauga retete noi - nu e detaliat fluxul</t>
  </si>
  <si>
    <t>R03</t>
  </si>
  <si>
    <t>daily revenue - nu se poate calcula, nu ni se cere sa pastram o data pentru comanda</t>
  </si>
  <si>
    <t>"gestionarea stocului" e vaga: nu stim cand se face verificarea stocului (la adaugarea in comanda sau la finalizare) sau ce se intampla cand avem stoc insuficient (blocam complet comanda sau salvam doar partea realizabila)</t>
  </si>
  <si>
    <t>R05</t>
  </si>
  <si>
    <t>CategorieBautura si TipBautura sunt Enum deci nu se pot adauga/sterge/modifica</t>
  </si>
  <si>
    <t>A03</t>
  </si>
  <si>
    <t>A02</t>
  </si>
  <si>
    <t>A07</t>
  </si>
  <si>
    <t>DailyReportService ar trebui sa fie in folderul service</t>
  </si>
  <si>
    <t>Reteta si Produs nu au o corelatie asa ca nu se pot prepara produse dupa reteta</t>
  </si>
  <si>
    <t>Repository are un nume prea general,poate fi Irepository sau RepositoryInterface</t>
  </si>
  <si>
    <t>String.isEmpty()" should be used to test for emptiness</t>
  </si>
  <si>
    <t xml:space="preserve">            if (sb.length() &gt; 0) {</t>
  </si>
  <si>
    <t xml:space="preserve">            if (sb.isEmpty()) {</t>
  </si>
  <si>
    <t>FileOrderRepository,59</t>
  </si>
  <si>
    <t xml:space="preserve">    private transient Product product;</t>
  </si>
  <si>
    <t xml:space="preserve">    private Product product;</t>
  </si>
  <si>
    <t>Fields in a "Serializable" class should either be transient or serializable</t>
  </si>
  <si>
    <t>OrderItem,7</t>
  </si>
  <si>
    <t>public abstract class AbstractRepository&lt;ID, E&gt;</t>
  </si>
  <si>
    <t>ID este un nume bun pentru template,orice altceva ar face numele sa induca in eroare pentru ce este</t>
  </si>
  <si>
    <t>Type parameter names should comply with a naming convention</t>
  </si>
  <si>
    <t>AbstractRepository,8</t>
  </si>
  <si>
    <t xml:space="preserve">        return (List&lt;E&gt;)StreamSupport.stream(entities.values().spliterator(), false).toList();</t>
  </si>
  <si>
    <t>Redundant casts should not be used</t>
  </si>
  <si>
    <t>AbstractRepository,20</t>
  </si>
  <si>
    <t xml:space="preserve">        return StreamSupport.stream(entities.values().spliterator(), false).toList();</t>
  </si>
  <si>
    <t>Effort to perform tool-based code analysis (hours):25min</t>
  </si>
  <si>
    <t>FileAbstractRepository,20</t>
  </si>
  <si>
    <t>Constructors of an "abstract" class should not be declared "public"</t>
  </si>
  <si>
    <t xml:space="preserve">    public FileAbstractRepository(String fileName) {</t>
  </si>
  <si>
    <t xml:space="preserve">    protected FileAbstractRepository(String fileName) {</t>
  </si>
  <si>
    <t>nu avem posibilitatea de a afisa stocul (se cere la punctul 5 din requirements)</t>
  </si>
  <si>
    <t>A05</t>
  </si>
  <si>
    <t>Validarile exista dar nu sunt folosite explicit clasele respective</t>
  </si>
  <si>
    <t>Taran Sergiu</t>
  </si>
  <si>
    <t>Tibil Oana</t>
  </si>
  <si>
    <t>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</si>
</sst>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8" fillId="0" borderId="1" xfId="0" applyFont="1" applyBorder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9" fillId="3" borderId="1" xfId="0" applyFont="1" applyFill="1" applyBorder="1"/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2" borderId="1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/>
    <xf numFmtId="0" fontId="7" fillId="0" borderId="1" xfId="0" applyFont="1" applyBorder="1"/>
    <xf numFmtId="0" fontId="10" fillId="0" borderId="0" xfId="0" applyFont="1"/>
    <xf numFmtId="0" fontId="6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2" xfId="0" applyFont="1" applyBorder="1"/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2" borderId="4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13" fillId="3" borderId="2" xfId="0" applyFont="1" applyFill="1" applyBorder="1" applyAlignment="1">
      <alignment horizontal="right"/>
    </xf>
    <xf numFmtId="0" fontId="13" fillId="3" borderId="4" xfId="0" applyFont="1" applyFill="1" applyBorder="1" applyAlignment="1">
      <alignment horizontal="right"/>
    </xf>
    <xf numFmtId="0" fontId="9" fillId="4" borderId="1" xfId="0" applyFont="1" applyFill="1" applyBorder="1" applyAlignment="1">
      <alignment horizontal="right"/>
    </xf>
    <xf numFmtId="0" fontId="13" fillId="4" borderId="2" xfId="0" applyFont="1" applyFill="1" applyBorder="1" applyAlignment="1">
      <alignment horizontal="right"/>
    </xf>
    <xf numFmtId="0" fontId="13" fillId="4" borderId="4" xfId="0" applyFont="1" applyFill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34"/>
  <sheetViews>
    <sheetView workbookViewId="0">
      <selection activeCell="D11" sqref="D11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36.1093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26" t="s">
        <v>23</v>
      </c>
      <c r="I1" s="26"/>
      <c r="J1" s="26"/>
    </row>
    <row r="2" spans="1:10" x14ac:dyDescent="0.3">
      <c r="B2" s="27" t="s">
        <v>19</v>
      </c>
      <c r="C2" s="27"/>
      <c r="D2" s="27"/>
      <c r="E2" s="27"/>
      <c r="H2" s="3"/>
      <c r="I2" s="18" t="s">
        <v>30</v>
      </c>
      <c r="J2" s="16" t="s">
        <v>24</v>
      </c>
    </row>
    <row r="3" spans="1:10" x14ac:dyDescent="0.3">
      <c r="H3" s="16" t="s">
        <v>20</v>
      </c>
      <c r="I3" s="16"/>
      <c r="J3" s="16"/>
    </row>
    <row r="4" spans="1:10" x14ac:dyDescent="0.3">
      <c r="C4" s="13" t="s">
        <v>0</v>
      </c>
      <c r="D4" s="28" t="s">
        <v>14</v>
      </c>
      <c r="E4" s="28"/>
      <c r="H4" s="16" t="s">
        <v>21</v>
      </c>
      <c r="I4" s="3"/>
      <c r="J4" s="3"/>
    </row>
    <row r="5" spans="1:10" x14ac:dyDescent="0.3">
      <c r="C5" s="13" t="s">
        <v>9</v>
      </c>
      <c r="D5" s="29" t="s">
        <v>13</v>
      </c>
      <c r="E5" s="30"/>
      <c r="H5" s="16" t="s">
        <v>22</v>
      </c>
      <c r="I5" s="3"/>
      <c r="J5" s="3"/>
    </row>
    <row r="6" spans="1:10" x14ac:dyDescent="0.3">
      <c r="B6" s="8"/>
      <c r="C6" s="9" t="s">
        <v>2</v>
      </c>
      <c r="D6" s="25"/>
      <c r="E6" s="25"/>
    </row>
    <row r="7" spans="1:10" x14ac:dyDescent="0.3">
      <c r="C7" s="9" t="s">
        <v>1</v>
      </c>
      <c r="D7" s="25"/>
      <c r="E7" s="25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ht="28.8" x14ac:dyDescent="0.3">
      <c r="B10" s="3">
        <v>1</v>
      </c>
      <c r="C10" s="1" t="s">
        <v>33</v>
      </c>
      <c r="D10" s="1" t="s">
        <v>32</v>
      </c>
      <c r="E10" s="2" t="s">
        <v>34</v>
      </c>
    </row>
    <row r="11" spans="1:10" ht="43.2" x14ac:dyDescent="0.3">
      <c r="B11" s="3">
        <f>B10+1</f>
        <v>2</v>
      </c>
      <c r="C11" s="1" t="s">
        <v>68</v>
      </c>
      <c r="D11" s="1" t="s">
        <v>32</v>
      </c>
      <c r="E11" s="2" t="s">
        <v>69</v>
      </c>
    </row>
    <row r="12" spans="1:10" ht="28.8" x14ac:dyDescent="0.3">
      <c r="B12" s="3">
        <f>B11+1</f>
        <v>3</v>
      </c>
      <c r="C12" s="1" t="s">
        <v>68</v>
      </c>
      <c r="D12" s="1" t="s">
        <v>32</v>
      </c>
      <c r="E12" s="2" t="s">
        <v>70</v>
      </c>
    </row>
    <row r="13" spans="1:10" ht="28.8" x14ac:dyDescent="0.3">
      <c r="B13" s="3">
        <f t="shared" ref="B13:B25" si="0">B12+1</f>
        <v>4</v>
      </c>
      <c r="C13" s="1" t="s">
        <v>71</v>
      </c>
      <c r="D13" s="1" t="s">
        <v>32</v>
      </c>
      <c r="E13" s="2" t="s">
        <v>72</v>
      </c>
    </row>
    <row r="14" spans="1:10" ht="72" x14ac:dyDescent="0.3">
      <c r="B14" s="3">
        <f t="shared" si="0"/>
        <v>5</v>
      </c>
      <c r="C14" s="1" t="s">
        <v>74</v>
      </c>
      <c r="D14" s="1" t="s">
        <v>32</v>
      </c>
      <c r="E14" s="2" t="s">
        <v>73</v>
      </c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>B15+1</f>
        <v>7</v>
      </c>
      <c r="C16" s="1"/>
      <c r="D16" s="1"/>
      <c r="E16" s="2"/>
    </row>
    <row r="17" spans="2:5" x14ac:dyDescent="0.3">
      <c r="B17" s="3">
        <f t="shared" si="0"/>
        <v>8</v>
      </c>
      <c r="C17" s="1"/>
      <c r="D17" s="1"/>
      <c r="E17" s="2"/>
    </row>
    <row r="18" spans="2:5" x14ac:dyDescent="0.3">
      <c r="B18" s="3">
        <f t="shared" si="0"/>
        <v>9</v>
      </c>
      <c r="C18" s="21"/>
      <c r="D18" s="22"/>
      <c r="E18" s="22"/>
    </row>
    <row r="19" spans="2:5" x14ac:dyDescent="0.3">
      <c r="B19" s="3">
        <f t="shared" si="0"/>
        <v>10</v>
      </c>
      <c r="C19" s="21"/>
      <c r="D19" s="21"/>
      <c r="E19" s="22"/>
    </row>
    <row r="20" spans="2:5" x14ac:dyDescent="0.3">
      <c r="B20" s="3">
        <f t="shared" si="0"/>
        <v>11</v>
      </c>
      <c r="C20" s="21"/>
      <c r="D20" s="21"/>
      <c r="E20" s="22"/>
    </row>
    <row r="21" spans="2:5" x14ac:dyDescent="0.3">
      <c r="B21" s="3">
        <f>B20+1</f>
        <v>12</v>
      </c>
      <c r="C21" s="21"/>
      <c r="D21" s="21"/>
      <c r="E21" s="22"/>
    </row>
    <row r="22" spans="2:5" x14ac:dyDescent="0.3">
      <c r="B22" s="3">
        <f t="shared" si="0"/>
        <v>13</v>
      </c>
      <c r="C22" s="21"/>
      <c r="D22" s="21"/>
      <c r="E22" s="22"/>
    </row>
    <row r="23" spans="2:5" x14ac:dyDescent="0.3">
      <c r="B23" s="3">
        <f t="shared" si="0"/>
        <v>14</v>
      </c>
      <c r="C23" s="21"/>
      <c r="D23" s="21"/>
      <c r="E23" s="22"/>
    </row>
    <row r="24" spans="2:5" x14ac:dyDescent="0.3">
      <c r="B24" s="3">
        <f t="shared" si="0"/>
        <v>15</v>
      </c>
      <c r="C24" s="21"/>
      <c r="D24" s="21"/>
      <c r="E24" s="22"/>
    </row>
    <row r="25" spans="2:5" x14ac:dyDescent="0.3">
      <c r="B25" s="3">
        <f t="shared" si="0"/>
        <v>16</v>
      </c>
      <c r="C25" s="21"/>
      <c r="D25" s="21"/>
      <c r="E25" s="22"/>
    </row>
    <row r="34" spans="3:5" x14ac:dyDescent="0.3">
      <c r="C34" s="11" t="s">
        <v>8</v>
      </c>
      <c r="D34" s="12"/>
      <c r="E34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E30" sqref="E30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6" t="s">
        <v>23</v>
      </c>
      <c r="I1" s="26"/>
      <c r="J1" s="26"/>
    </row>
    <row r="2" spans="1:10" x14ac:dyDescent="0.3">
      <c r="B2" s="27" t="s">
        <v>18</v>
      </c>
      <c r="C2" s="27"/>
      <c r="D2" s="27"/>
      <c r="E2" s="27"/>
      <c r="H2" s="3"/>
      <c r="I2" s="18" t="s">
        <v>30</v>
      </c>
      <c r="J2" s="16" t="s">
        <v>24</v>
      </c>
    </row>
    <row r="3" spans="1:10" x14ac:dyDescent="0.3">
      <c r="H3" s="16" t="s">
        <v>20</v>
      </c>
      <c r="I3" s="39" t="s">
        <v>106</v>
      </c>
      <c r="J3" s="16">
        <v>237</v>
      </c>
    </row>
    <row r="4" spans="1:10" x14ac:dyDescent="0.3">
      <c r="C4" s="7" t="s">
        <v>0</v>
      </c>
      <c r="D4" s="31" t="s">
        <v>15</v>
      </c>
      <c r="E4" s="31"/>
      <c r="H4" s="16" t="s">
        <v>21</v>
      </c>
      <c r="I4" s="39" t="s">
        <v>107</v>
      </c>
      <c r="J4" s="3">
        <v>237</v>
      </c>
    </row>
    <row r="5" spans="1:10" x14ac:dyDescent="0.3">
      <c r="C5" s="7" t="s">
        <v>10</v>
      </c>
      <c r="D5" s="32" t="s">
        <v>12</v>
      </c>
      <c r="E5" s="33"/>
      <c r="H5" s="16" t="s">
        <v>22</v>
      </c>
      <c r="I5" s="3"/>
      <c r="J5" s="3"/>
    </row>
    <row r="6" spans="1:10" x14ac:dyDescent="0.3">
      <c r="B6" s="8"/>
      <c r="C6" s="9" t="s">
        <v>2</v>
      </c>
      <c r="D6" s="25"/>
      <c r="E6" s="25"/>
    </row>
    <row r="7" spans="1:10" x14ac:dyDescent="0.3">
      <c r="C7" s="9" t="s">
        <v>1</v>
      </c>
      <c r="D7" s="25"/>
      <c r="E7" s="25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28.8" x14ac:dyDescent="0.3">
      <c r="B10" s="3">
        <v>1</v>
      </c>
      <c r="C10" s="1" t="s">
        <v>76</v>
      </c>
      <c r="D10" s="2" t="s">
        <v>32</v>
      </c>
      <c r="E10" s="2" t="s">
        <v>75</v>
      </c>
    </row>
    <row r="11" spans="1:10" ht="28.8" x14ac:dyDescent="0.3">
      <c r="B11" s="3">
        <f>B10+1</f>
        <v>2</v>
      </c>
      <c r="C11" s="1" t="s">
        <v>77</v>
      </c>
      <c r="D11" s="2"/>
      <c r="E11" s="2" t="s">
        <v>79</v>
      </c>
    </row>
    <row r="12" spans="1:10" ht="28.8" x14ac:dyDescent="0.3">
      <c r="B12" s="3">
        <f t="shared" ref="B12:B26" si="0">B11+1</f>
        <v>3</v>
      </c>
      <c r="C12" s="1" t="s">
        <v>76</v>
      </c>
      <c r="D12" s="1" t="s">
        <v>32</v>
      </c>
      <c r="E12" s="2" t="s">
        <v>80</v>
      </c>
    </row>
    <row r="13" spans="1:10" ht="28.8" x14ac:dyDescent="0.3">
      <c r="B13" s="3">
        <f t="shared" si="0"/>
        <v>4</v>
      </c>
      <c r="C13" s="1" t="s">
        <v>104</v>
      </c>
      <c r="D13" s="1"/>
      <c r="E13" s="2" t="s">
        <v>105</v>
      </c>
    </row>
    <row r="14" spans="1:10" ht="28.8" x14ac:dyDescent="0.3">
      <c r="B14" s="3">
        <f t="shared" si="0"/>
        <v>5</v>
      </c>
      <c r="C14" s="1" t="s">
        <v>78</v>
      </c>
      <c r="D14" s="2"/>
      <c r="E14" s="2" t="s">
        <v>81</v>
      </c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 t="s">
        <v>108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opLeftCell="A25" workbookViewId="0">
      <selection activeCell="H2" sqref="H2:J5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36.21875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6" t="s">
        <v>23</v>
      </c>
      <c r="I1" s="26"/>
      <c r="J1" s="26"/>
    </row>
    <row r="2" spans="1:10" x14ac:dyDescent="0.3">
      <c r="B2" s="27" t="s">
        <v>17</v>
      </c>
      <c r="C2" s="27"/>
      <c r="D2" s="27"/>
      <c r="E2" s="27"/>
      <c r="H2" s="3"/>
      <c r="I2" s="18" t="s">
        <v>30</v>
      </c>
      <c r="J2" s="16" t="s">
        <v>24</v>
      </c>
    </row>
    <row r="3" spans="1:10" x14ac:dyDescent="0.3">
      <c r="H3" s="16" t="s">
        <v>20</v>
      </c>
      <c r="I3" s="39" t="s">
        <v>106</v>
      </c>
      <c r="J3" s="16">
        <v>237</v>
      </c>
    </row>
    <row r="4" spans="1:10" x14ac:dyDescent="0.3">
      <c r="C4" s="15" t="s">
        <v>0</v>
      </c>
      <c r="D4" s="34" t="s">
        <v>16</v>
      </c>
      <c r="E4" s="34"/>
      <c r="H4" s="16" t="s">
        <v>21</v>
      </c>
      <c r="I4" s="39" t="s">
        <v>107</v>
      </c>
      <c r="J4" s="3">
        <v>237</v>
      </c>
    </row>
    <row r="5" spans="1:10" x14ac:dyDescent="0.3">
      <c r="C5" s="15" t="s">
        <v>9</v>
      </c>
      <c r="D5" s="35" t="s">
        <v>11</v>
      </c>
      <c r="E5" s="36"/>
      <c r="H5" s="16" t="s">
        <v>22</v>
      </c>
      <c r="I5" s="3"/>
      <c r="J5" s="3"/>
    </row>
    <row r="6" spans="1:10" x14ac:dyDescent="0.3">
      <c r="B6" s="8"/>
      <c r="C6" s="9" t="s">
        <v>2</v>
      </c>
      <c r="D6" s="25"/>
      <c r="E6" s="25"/>
    </row>
    <row r="7" spans="1:10" x14ac:dyDescent="0.3">
      <c r="C7" s="9" t="s">
        <v>1</v>
      </c>
      <c r="D7" s="25"/>
      <c r="E7" s="25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28.8" x14ac:dyDescent="0.3">
      <c r="B10" s="3">
        <v>1</v>
      </c>
      <c r="C10" s="1" t="s">
        <v>35</v>
      </c>
      <c r="D10" s="1" t="s">
        <v>37</v>
      </c>
      <c r="E10" s="2" t="s">
        <v>38</v>
      </c>
    </row>
    <row r="11" spans="1:10" ht="100.8" x14ac:dyDescent="0.3">
      <c r="B11" s="3">
        <f>B10+1</f>
        <v>2</v>
      </c>
      <c r="C11" s="1" t="s">
        <v>35</v>
      </c>
      <c r="D11" s="1" t="s">
        <v>40</v>
      </c>
      <c r="E11" s="2" t="s">
        <v>41</v>
      </c>
    </row>
    <row r="12" spans="1:10" ht="28.8" x14ac:dyDescent="0.3">
      <c r="B12" s="3">
        <f t="shared" ref="B12:B30" si="0">B11+1</f>
        <v>3</v>
      </c>
      <c r="C12" s="1" t="s">
        <v>35</v>
      </c>
      <c r="D12" s="1" t="s">
        <v>43</v>
      </c>
      <c r="E12" s="2" t="s">
        <v>44</v>
      </c>
    </row>
    <row r="13" spans="1:10" x14ac:dyDescent="0.3">
      <c r="B13" s="3">
        <f t="shared" si="0"/>
        <v>4</v>
      </c>
      <c r="C13" s="1" t="s">
        <v>42</v>
      </c>
      <c r="D13" s="1" t="s">
        <v>47</v>
      </c>
      <c r="E13" s="2" t="s">
        <v>36</v>
      </c>
    </row>
    <row r="14" spans="1:10" x14ac:dyDescent="0.3">
      <c r="B14" s="3">
        <f t="shared" si="0"/>
        <v>5</v>
      </c>
      <c r="C14" s="1" t="s">
        <v>42</v>
      </c>
      <c r="D14" s="1" t="s">
        <v>48</v>
      </c>
      <c r="E14" s="2" t="s">
        <v>49</v>
      </c>
    </row>
    <row r="15" spans="1:10" ht="28.8" x14ac:dyDescent="0.3">
      <c r="B15" s="3">
        <f t="shared" si="0"/>
        <v>6</v>
      </c>
      <c r="C15" s="1" t="s">
        <v>42</v>
      </c>
      <c r="D15" s="1" t="s">
        <v>39</v>
      </c>
      <c r="E15" s="2" t="s">
        <v>50</v>
      </c>
    </row>
    <row r="16" spans="1:10" ht="43.2" x14ac:dyDescent="0.3">
      <c r="B16" s="3">
        <f t="shared" si="0"/>
        <v>7</v>
      </c>
      <c r="C16" s="1" t="s">
        <v>42</v>
      </c>
      <c r="D16" s="1" t="s">
        <v>51</v>
      </c>
      <c r="E16" s="2" t="s">
        <v>55</v>
      </c>
    </row>
    <row r="17" spans="2:5" ht="43.2" x14ac:dyDescent="0.3">
      <c r="B17" s="3">
        <f t="shared" si="0"/>
        <v>8</v>
      </c>
      <c r="C17" s="21" t="s">
        <v>52</v>
      </c>
      <c r="D17" s="21" t="s">
        <v>37</v>
      </c>
      <c r="E17" s="22" t="s">
        <v>54</v>
      </c>
    </row>
    <row r="18" spans="2:5" ht="28.8" x14ac:dyDescent="0.3">
      <c r="B18" s="3">
        <f t="shared" si="0"/>
        <v>9</v>
      </c>
      <c r="C18" s="21" t="s">
        <v>52</v>
      </c>
      <c r="D18" s="21" t="s">
        <v>53</v>
      </c>
      <c r="E18" s="23" t="s">
        <v>103</v>
      </c>
    </row>
    <row r="19" spans="2:5" ht="28.8" x14ac:dyDescent="0.3">
      <c r="B19" s="3">
        <f t="shared" si="0"/>
        <v>10</v>
      </c>
      <c r="C19" s="21" t="s">
        <v>52</v>
      </c>
      <c r="D19" s="21" t="s">
        <v>56</v>
      </c>
      <c r="E19" s="22" t="s">
        <v>57</v>
      </c>
    </row>
    <row r="20" spans="2:5" ht="43.2" x14ac:dyDescent="0.3">
      <c r="B20" s="3">
        <f t="shared" si="0"/>
        <v>11</v>
      </c>
      <c r="C20" s="21" t="s">
        <v>58</v>
      </c>
      <c r="D20" s="21" t="s">
        <v>51</v>
      </c>
      <c r="E20" s="22" t="s">
        <v>59</v>
      </c>
    </row>
    <row r="21" spans="2:5" x14ac:dyDescent="0.3">
      <c r="B21" s="3">
        <f t="shared" si="0"/>
        <v>12</v>
      </c>
      <c r="C21" s="21" t="s">
        <v>45</v>
      </c>
      <c r="D21" s="21" t="s">
        <v>43</v>
      </c>
      <c r="E21" s="22" t="s">
        <v>60</v>
      </c>
    </row>
    <row r="22" spans="2:5" ht="28.8" x14ac:dyDescent="0.3">
      <c r="B22" s="3">
        <f t="shared" si="0"/>
        <v>13</v>
      </c>
      <c r="C22" s="21" t="s">
        <v>46</v>
      </c>
      <c r="D22" s="21" t="s">
        <v>61</v>
      </c>
      <c r="E22" s="22" t="s">
        <v>62</v>
      </c>
    </row>
    <row r="23" spans="2:5" ht="43.2" x14ac:dyDescent="0.3">
      <c r="B23" s="3">
        <f t="shared" si="0"/>
        <v>14</v>
      </c>
      <c r="C23" s="21" t="s">
        <v>46</v>
      </c>
      <c r="D23" s="21" t="s">
        <v>63</v>
      </c>
      <c r="E23" s="22" t="s">
        <v>64</v>
      </c>
    </row>
    <row r="24" spans="2:5" x14ac:dyDescent="0.3">
      <c r="B24" s="3">
        <f t="shared" si="0"/>
        <v>15</v>
      </c>
      <c r="C24" s="21" t="s">
        <v>65</v>
      </c>
      <c r="D24" s="21" t="s">
        <v>66</v>
      </c>
      <c r="E24" s="21" t="s">
        <v>67</v>
      </c>
    </row>
    <row r="25" spans="2:5" x14ac:dyDescent="0.3">
      <c r="B25" s="24">
        <f t="shared" si="0"/>
        <v>16</v>
      </c>
      <c r="C25" s="3"/>
      <c r="D25" s="3"/>
      <c r="E25" s="3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B27" s="3">
        <f t="shared" si="0"/>
        <v>18</v>
      </c>
      <c r="C27" s="1"/>
      <c r="D27" s="2"/>
      <c r="E27" s="1"/>
    </row>
    <row r="28" spans="2:5" x14ac:dyDescent="0.3">
      <c r="B28" s="3">
        <f t="shared" si="0"/>
        <v>19</v>
      </c>
      <c r="C28" s="1"/>
      <c r="D28" s="2"/>
      <c r="E28" s="2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2" spans="2:5" x14ac:dyDescent="0.3">
      <c r="C32" s="11" t="s">
        <v>8</v>
      </c>
      <c r="D32" s="12"/>
      <c r="E32" s="1">
        <v>0.5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workbookViewId="0">
      <selection activeCell="I12" sqref="I12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6" t="s">
        <v>23</v>
      </c>
      <c r="I1" s="26"/>
      <c r="J1" s="26"/>
    </row>
    <row r="2" spans="1:10" x14ac:dyDescent="0.3">
      <c r="B2" s="27" t="s">
        <v>31</v>
      </c>
      <c r="C2" s="27"/>
      <c r="D2" s="27"/>
      <c r="E2" s="27"/>
      <c r="H2" s="3"/>
      <c r="I2" s="18" t="s">
        <v>30</v>
      </c>
      <c r="J2" s="16" t="s">
        <v>24</v>
      </c>
    </row>
    <row r="3" spans="1:10" x14ac:dyDescent="0.3">
      <c r="H3" s="16" t="s">
        <v>20</v>
      </c>
      <c r="I3" s="39" t="s">
        <v>106</v>
      </c>
      <c r="J3" s="16">
        <v>237</v>
      </c>
    </row>
    <row r="4" spans="1:10" x14ac:dyDescent="0.3">
      <c r="C4" s="15" t="s">
        <v>25</v>
      </c>
      <c r="D4" s="34"/>
      <c r="E4" s="34"/>
      <c r="H4" s="16" t="s">
        <v>21</v>
      </c>
      <c r="I4" s="39" t="s">
        <v>107</v>
      </c>
      <c r="J4" s="3">
        <v>237</v>
      </c>
    </row>
    <row r="5" spans="1:10" x14ac:dyDescent="0.3">
      <c r="C5" s="9" t="s">
        <v>2</v>
      </c>
      <c r="D5" s="25"/>
      <c r="E5" s="25"/>
      <c r="H5" s="16" t="s">
        <v>22</v>
      </c>
      <c r="I5" s="3"/>
      <c r="J5" s="3"/>
    </row>
    <row r="6" spans="1:10" x14ac:dyDescent="0.3">
      <c r="B6" s="8"/>
      <c r="C6" s="9" t="s">
        <v>1</v>
      </c>
      <c r="D6" s="25"/>
      <c r="E6" s="25"/>
      <c r="F6" s="19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43.2" x14ac:dyDescent="0.3">
      <c r="B10" s="3">
        <v>1</v>
      </c>
      <c r="C10" s="1" t="s">
        <v>85</v>
      </c>
      <c r="D10" s="2" t="s">
        <v>82</v>
      </c>
      <c r="E10" s="2" t="s">
        <v>83</v>
      </c>
      <c r="F10" s="2" t="s">
        <v>84</v>
      </c>
    </row>
    <row r="11" spans="1:10" ht="28.8" x14ac:dyDescent="0.3">
      <c r="B11" s="3">
        <f>B10+1</f>
        <v>2</v>
      </c>
      <c r="C11" s="1" t="s">
        <v>89</v>
      </c>
      <c r="D11" s="1" t="s">
        <v>88</v>
      </c>
      <c r="E11" s="2" t="s">
        <v>86</v>
      </c>
      <c r="F11" s="2" t="s">
        <v>87</v>
      </c>
    </row>
    <row r="12" spans="1:10" ht="100.8" x14ac:dyDescent="0.3">
      <c r="B12" s="3">
        <f t="shared" ref="B12:B30" si="0">B11+1</f>
        <v>3</v>
      </c>
      <c r="C12" s="1" t="s">
        <v>93</v>
      </c>
      <c r="D12" s="1" t="s">
        <v>92</v>
      </c>
      <c r="E12" s="2" t="s">
        <v>90</v>
      </c>
      <c r="F12" s="2" t="s">
        <v>91</v>
      </c>
    </row>
    <row r="13" spans="1:10" ht="72" x14ac:dyDescent="0.3">
      <c r="B13" s="3">
        <f t="shared" si="0"/>
        <v>4</v>
      </c>
      <c r="C13" s="1" t="s">
        <v>96</v>
      </c>
      <c r="D13" s="2" t="s">
        <v>95</v>
      </c>
      <c r="E13" s="2" t="s">
        <v>94</v>
      </c>
      <c r="F13" s="2" t="s">
        <v>97</v>
      </c>
    </row>
    <row r="14" spans="1:10" ht="57.6" x14ac:dyDescent="0.3">
      <c r="B14" s="3">
        <f t="shared" si="0"/>
        <v>5</v>
      </c>
      <c r="C14" s="1" t="s">
        <v>99</v>
      </c>
      <c r="D14" s="2" t="s">
        <v>100</v>
      </c>
      <c r="E14" s="2" t="s">
        <v>101</v>
      </c>
      <c r="F14" s="2" t="s">
        <v>102</v>
      </c>
    </row>
    <row r="15" spans="1:10" x14ac:dyDescent="0.3">
      <c r="B15" s="3">
        <f t="shared" si="0"/>
        <v>6</v>
      </c>
      <c r="C15" s="1"/>
      <c r="D15" s="2"/>
      <c r="E15" s="2"/>
      <c r="F15" s="2"/>
    </row>
    <row r="16" spans="1:10" x14ac:dyDescent="0.3">
      <c r="B16" s="3">
        <f t="shared" si="0"/>
        <v>7</v>
      </c>
      <c r="C16" s="1"/>
      <c r="D16" s="2"/>
      <c r="E16" s="2"/>
      <c r="F16" s="2"/>
    </row>
    <row r="17" spans="2:6" x14ac:dyDescent="0.3">
      <c r="B17" s="3">
        <f t="shared" si="0"/>
        <v>8</v>
      </c>
      <c r="C17" s="1"/>
      <c r="D17" s="2"/>
      <c r="E17" s="2"/>
      <c r="F17" s="2"/>
    </row>
    <row r="18" spans="2:6" x14ac:dyDescent="0.3">
      <c r="B18" s="3">
        <f t="shared" si="0"/>
        <v>9</v>
      </c>
      <c r="C18" s="1"/>
      <c r="D18" s="2"/>
      <c r="E18" s="2"/>
      <c r="F18" s="2"/>
    </row>
    <row r="19" spans="2:6" x14ac:dyDescent="0.3">
      <c r="B19" s="3">
        <f t="shared" si="0"/>
        <v>10</v>
      </c>
      <c r="C19" s="1"/>
      <c r="D19" s="1"/>
      <c r="E19" s="2"/>
      <c r="F19" s="2"/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37" t="s">
        <v>98</v>
      </c>
      <c r="D32" s="38"/>
      <c r="E32" s="38"/>
      <c r="F32" s="17"/>
    </row>
    <row r="35" spans="6:6" x14ac:dyDescent="0.3">
      <c r="F35" s="20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a</cp:lastModifiedBy>
  <dcterms:created xsi:type="dcterms:W3CDTF">2015-02-21T15:59:19Z</dcterms:created>
  <dcterms:modified xsi:type="dcterms:W3CDTF">2026-03-13T18:04:09Z</dcterms:modified>
</cp:coreProperties>
</file>